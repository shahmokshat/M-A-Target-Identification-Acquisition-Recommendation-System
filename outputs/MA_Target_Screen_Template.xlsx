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4588942a242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f25160890ef49b7"/>
    <x:sheet xmlns:r="http://schemas.openxmlformats.org/officeDocument/2006/relationships" name="Assumptions" sheetId="2" r:id="R687a300513e04a82"/>
    <x:sheet xmlns:r="http://schemas.openxmlformats.org/officeDocument/2006/relationships" name="Raw_Data" sheetId="3" r:id="Rdda99e30a74a4387"/>
    <x:sheet xmlns:r="http://schemas.openxmlformats.org/officeDocument/2006/relationships" name="Scoring_Model" sheetId="4" r:id="R92302afbe23b4bf5"/>
    <x:sheet xmlns:r="http://schemas.openxmlformats.org/officeDocument/2006/relationships" name="Sources" sheetId="5" r:id="R2ba1b8244f6145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%"/>
    <x:numFmt numFmtId="202" formatCode="#,##0.0;[Red](#,##0.0);-"/>
    <x:numFmt numFmtId="203" formatCode="0.0%"/>
    <x:numFmt numFmtId="204" formatCode="0.0x"/>
  </x:numFmts>
  <x:fonts count="7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sz val="11"/>
      <x:color rgb="0000FF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  <x:font>
      <x:b/>
      <x:sz val="13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1F2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203" fontId="3" fillId="0" borderId="0" xfId="0" applyNumberFormat="1" applyFont="1" applyFill="1" applyBorder="1" applyAlignment="1">
      <x:alignment vertical="top" wrapText="1"/>
    </x:xf>
    <x:xf numFmtId="203" fontId="3" fillId="0" borderId="1" xfId="0" applyNumberFormat="1" applyFont="1" applyFill="1" applyBorder="1" applyAlignment="1">
      <x:alignment vertical="top" wrapText="1"/>
    </x:xf>
    <x:xf numFmtId="204" fontId="3" fillId="0" borderId="0" xfId="0" applyNumberFormat="1" applyFont="1" applyFill="1" applyBorder="1" applyAlignment="1">
      <x:alignment vertical="top" wrapText="1"/>
    </x:xf>
    <x:xf numFmtId="204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96e0a8ae6248da" /><Relationship Type="http://schemas.openxmlformats.org/officeDocument/2006/relationships/theme" Target="/xl/theme/theme1.xml" Id="R8f699bb4cbcb43cb" /><Relationship Type="http://schemas.openxmlformats.org/officeDocument/2006/relationships/sharedStrings" Target="/xl/sharedStrings.xml" Id="R8e3f7bdc47d1459f" /><Relationship Type="http://schemas.openxmlformats.org/officeDocument/2006/relationships/worksheet" Target="/xl/worksheets/sheet1.xml" Id="R0f25160890ef49b7" /><Relationship Type="http://schemas.openxmlformats.org/officeDocument/2006/relationships/worksheet" Target="/xl/worksheets/sheet2.xml" Id="R687a300513e04a82" /><Relationship Type="http://schemas.openxmlformats.org/officeDocument/2006/relationships/worksheet" Target="/xl/worksheets/sheet3.xml" Id="Rdda99e30a74a4387" /><Relationship Type="http://schemas.openxmlformats.org/officeDocument/2006/relationships/worksheet" Target="/xl/worksheets/sheet4.xml" Id="R92302afbe23b4bf5" /><Relationship Type="http://schemas.openxmlformats.org/officeDocument/2006/relationships/worksheet" Target="/xl/worksheets/sheet5.xml" Id="R2ba1b8244f614546" /></Relationships>
</file>

<file path=xl/tables/table1.xml><?xml version="1.0" encoding="utf-8"?>
<x:table xmlns:x="http://schemas.openxmlformats.org/spreadsheetml/2006/main" id="1" name="RawDataTable" displayName="RawDataTable" ref="A2:Q12" headerRowCount="1">
  <x:tableColumns count="17">
    <x:tableColumn id="1" name="Company"/>
    <x:tableColumn id="2" name="Ticker"/>
    <x:tableColumn id="3" name="Sector"/>
    <x:tableColumn id="4" name="Industry"/>
    <x:tableColumn id="5" name="Strategic Fit Score"/>
    <x:tableColumn id="6" name="Why Fit"/>
    <x:tableColumn id="7" name="Market Cap (₹ Cr)"/>
    <x:tableColumn id="8" name="Enterprise Value (₹ Cr)"/>
    <x:tableColumn id="9" name="Revenue TTM (₹ Cr)"/>
    <x:tableColumn id="10" name="Revenue Growth %"/>
    <x:tableColumn id="11" name="EBITDA Margin %"/>
    <x:tableColumn id="12" name="Free Cash Flow (₹ Cr)"/>
    <x:tableColumn id="13" name="Debt/Equity"/>
    <x:tableColumn id="14" name="ROE %"/>
    <x:tableColumn id="15" name="EV/Revenue"/>
    <x:tableColumn id="16" name="EV/EBITDA"/>
    <x:tableColumn id="17" name="Data Note"/>
  </x:tableColumns>
  <x:tableStyleInfo name="TableStyleMedium2" showRowStripes="1"/>
</x:table>
</file>

<file path=xl/tables/table2.xml><?xml version="1.0" encoding="utf-8"?>
<x:table xmlns:x="http://schemas.openxmlformats.org/spreadsheetml/2006/main" id="2" name="ScoringTable" displayName="ScoringTable" ref="A1:O11" headerRowCount="1">
  <x:tableColumns count="15">
    <x:tableColumn id="1" name="Rank"/>
    <x:tableColumn id="2" name="Company"/>
    <x:tableColumn id="3" name="Ticker"/>
    <x:tableColumn id="4" name="Sector"/>
    <x:tableColumn id="5" name="Industry"/>
    <x:tableColumn id="6" name="Growth Score"/>
    <x:tableColumn id="7" name="Profitability Score"/>
    <x:tableColumn id="8" name="Cash Flow Score"/>
    <x:tableColumn id="9" name="Balance Sheet Score"/>
    <x:tableColumn id="10" name="Valuation Score"/>
    <x:tableColumn id="11" name="Strategic Fit Score"/>
    <x:tableColumn id="12" name="Growth Weighted"/>
    <x:tableColumn id="13" name="Profitability Weighted"/>
    <x:tableColumn id="14" name="Acquisition Score"/>
    <x:tableColumn id="15" name="Recommen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51a0c29b8c84b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950d5617be54641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4" max="4" width="22" hidden="0" customWidth="1"/>
    <x:col min="5" max="5" width="22" hidden="0" customWidth="1"/>
    <x:col min="8" max="8" width="36" hidden="0" customWidth="1"/>
  </x:cols>
  <x:sheetData>
    <x:row r="1" ht="28" customHeight="1">
      <x:c r="A1" s="5" t="str">
        <x:v>M&amp;A Target Identification &amp; Acquisition Recommendation System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Buyer Scenario</x:v>
      </x:c>
      <x:c r="B3" s="21" t="str">
        <x:v>Tata Consumer / Reliance Retail / ITC Foods</x:v>
      </x:c>
      <x:c r="D3" s="26" t="str">
        <x:v>Model KPIs</x:v>
      </x:c>
      <x:c r="E3" s="26"/>
      <x:c r="F3" s="26"/>
      <x:c r="G3" s="26"/>
      <x:c r="H3" s="26"/>
    </x:row>
    <x:row r="4">
      <x:c r="A4" s="14" t="str">
        <x:v>Universe</x:v>
      </x:c>
      <x:c r="B4" s="21" t="str">
        <x:v>Indian consumer, food, dairy, QSR and FMCG listed companies</x:v>
      </x:c>
      <x:c r="D4" s="14" t="str">
        <x:v>Companies Screened</x:v>
      </x:c>
      <x:c r="E4" s="30" t="n">
        <x:f>COUNTA(Scoring_Model!B2:B100)</x:f>
        <x:v>10</x:v>
      </x:c>
    </x:row>
    <x:row r="5">
      <x:c r="A5" s="14" t="str">
        <x:v>Goal</x:v>
      </x:c>
      <x:c r="B5" s="21" t="str">
        <x:v>Shortlist acquisition targets for deeper due diligence</x:v>
      </x:c>
      <x:c r="D5" s="14" t="str">
        <x:v>Top Target</x:v>
      </x:c>
      <x:c r="E5" s="30" t="str">
        <x:f>INDEX(Scoring_Model!B2:B100,MATCH(MAX(Scoring_Model!N2:N100),Scoring_Model!N2:N100,0))</x:f>
        <x:v>Mrs. Bectors Food Specialities</x:v>
      </x:c>
    </x:row>
    <x:row r="6">
      <x:c r="A6" s="14" t="str">
        <x:v>Data Status</x:v>
      </x:c>
      <x:c r="B6" s="21" t="str">
        <x:v>Template uses illustrative sample; run Python scripts to fetch public data</x:v>
      </x:c>
      <x:c r="D6" s="14" t="str">
        <x:v>Top Score</x:v>
      </x:c>
      <x:c r="E6" s="30" t="n">
        <x:f>MAX(Scoring_Model!N2:N100)</x:f>
        <x:v>65.08</x:v>
      </x:c>
    </x:row>
    <x:row r="7">
      <x:c r="A7" s="14" t="str">
        <x:v>Best Use</x:v>
      </x:c>
      <x:c r="B7" s="21" t="str">
        <x:v>Big 4 Deal Advisory / Consulting / IB Analyst interviews</x:v>
      </x:c>
      <x:c r="D7" s="14" t="str">
        <x:v>High Priority Targets</x:v>
      </x:c>
      <x:c r="E7" s="30" t="n">
        <x:f>COUNTIF(Scoring_Model!N2:N100,"&gt;=75")</x:f>
        <x:v>0</x:v>
      </x:c>
    </x:row>
    <x:row r="8">
      <x:c r="D8" s="14" t="str">
        <x:v>Average Score</x:v>
      </x:c>
      <x:c r="E8" s="30" t="n">
        <x:f>AVERAGE(Scoring_Model!N2:N100)</x:f>
        <x:v>51.8155</x:v>
      </x:c>
    </x:row>
    <x:row r="10">
      <x:c r="A10" s="26" t="str">
        <x:v>Top Acquisition Targets - Sample Output</x:v>
      </x:c>
      <x:c r="B10" s="26"/>
      <x:c r="C10" s="26"/>
      <x:c r="D10" s="26"/>
      <x:c r="E10" s="26"/>
      <x:c r="F10" s="26"/>
      <x:c r="G10" s="26"/>
      <x:c r="H10" s="26"/>
    </x:row>
    <x:row r="11">
      <x:c r="A11" s="34" t="str">
        <x:v>Rank</x:v>
      </x:c>
      <x:c r="B11" s="34" t="str">
        <x:v>Company</x:v>
      </x:c>
      <x:c r="C11" s="34" t="str">
        <x:v>Ticker</x:v>
      </x:c>
      <x:c r="D11" s="34" t="str">
        <x:v>Industry</x:v>
      </x:c>
      <x:c r="E11" s="34" t="str">
        <x:v>Score</x:v>
      </x:c>
      <x:c r="F11" s="34" t="str">
        <x:v>Recommendation</x:v>
      </x:c>
      <x:c r="G11" s="34" t="str">
        <x:v>Strategic Fit</x:v>
      </x:c>
      <x:c r="H11" s="34" t="str">
        <x:v>Why Fit</x:v>
      </x:c>
    </x:row>
    <x:row r="12">
      <x:c r="A12" s="39" t="n">
        <x:f>Scoring_Model!A2</x:f>
        <x:v>1</x:v>
      </x:c>
      <x:c r="B12" s="39" t="str">
        <x:f>Scoring_Model!B2</x:f>
        <x:v>Mrs. Bectors Food Specialities</x:v>
      </x:c>
      <x:c r="C12" s="39" t="str">
        <x:f>Scoring_Model!C2</x:f>
        <x:v>BECTORFOOD.NS</x:v>
      </x:c>
      <x:c r="D12" s="39" t="str">
        <x:f>Scoring_Model!E2</x:f>
        <x:v>Packaged Foods</x:v>
      </x:c>
      <x:c r="E12" s="42" t="n">
        <x:f>Scoring_Model!N2</x:f>
        <x:v>65.08</x:v>
      </x:c>
      <x:c r="F12" s="39" t="str">
        <x:f>Scoring_Model!O2</x:f>
        <x:v>Medium priority: monitor</x:v>
      </x:c>
      <x:c r="G12" s="39" t="n">
        <x:f>Raw_Data!E3</x:f>
        <x:v>9</x:v>
      </x:c>
      <x:c r="H12" s="39" t="str">
        <x:f>Raw_Data!F3</x:f>
      </x:c>
    </x:row>
    <x:row r="13">
      <x:c r="A13" s="39" t="n">
        <x:f>Scoring_Model!A3</x:f>
        <x:v>2</x:v>
      </x:c>
      <x:c r="B13" s="39" t="str">
        <x:f>Scoring_Model!B3</x:f>
        <x:v>Bikaji Foods International</x:v>
      </x:c>
      <x:c r="C13" s="39" t="str">
        <x:f>Scoring_Model!C3</x:f>
        <x:v>BIKAJI.NS</x:v>
      </x:c>
      <x:c r="D13" s="39" t="str">
        <x:f>Scoring_Model!E3</x:f>
        <x:v>Packaged Foods</x:v>
      </x:c>
      <x:c r="E13" s="42" t="n">
        <x:f>Scoring_Model!N3</x:f>
        <x:v>63.96500000000001</x:v>
      </x:c>
      <x:c r="F13" s="39" t="str">
        <x:f>Scoring_Model!O3</x:f>
        <x:v>Medium priority: monitor</x:v>
      </x:c>
      <x:c r="G13" s="39" t="n">
        <x:f>Raw_Data!E4</x:f>
        <x:v>9</x:v>
      </x:c>
      <x:c r="H13" s="39" t="str">
        <x:f>Raw_Data!F4</x:f>
      </x:c>
    </x:row>
    <x:row r="14">
      <x:c r="A14" s="39" t="n">
        <x:f>Scoring_Model!A4</x:f>
        <x:v>10</x:v>
      </x:c>
      <x:c r="B14" s="39" t="str">
        <x:f>Scoring_Model!B4</x:f>
        <x:v>Prataap Snacks</x:v>
      </x:c>
      <x:c r="C14" s="39" t="str">
        <x:f>Scoring_Model!C4</x:f>
        <x:v>DIAMONDYD.NS</x:v>
      </x:c>
      <x:c r="D14" s="39" t="str">
        <x:f>Scoring_Model!E4</x:f>
        <x:v>Packaged Foods</x:v>
      </x:c>
      <x:c r="E14" s="42" t="n">
        <x:f>Scoring_Model!N4</x:f>
        <x:v>31.89</x:v>
      </x:c>
      <x:c r="F14" s="39" t="str">
        <x:f>Scoring_Model!O4</x:f>
        <x:v>Low priority</x:v>
      </x:c>
      <x:c r="G14" s="39" t="n">
        <x:f>Raw_Data!E5</x:f>
        <x:v>8</x:v>
      </x:c>
      <x:c r="H14" s="39" t="str">
        <x:f>Raw_Data!F5</x:f>
      </x:c>
    </x:row>
    <x:row r="15">
      <x:c r="A15" s="39" t="n">
        <x:f>Scoring_Model!A5</x:f>
        <x:v>4</x:v>
      </x:c>
      <x:c r="B15" s="39" t="str">
        <x:f>Scoring_Model!B5</x:f>
        <x:v>LT Foods</x:v>
      </x:c>
      <x:c r="C15" s="39" t="str">
        <x:f>Scoring_Model!C5</x:f>
        <x:v>LTFOODS.NS</x:v>
      </x:c>
      <x:c r="D15" s="39" t="str">
        <x:f>Scoring_Model!E5</x:f>
        <x:v>Packaged Foods</x:v>
      </x:c>
      <x:c r="E15" s="42" t="n">
        <x:f>Scoring_Model!N5</x:f>
        <x:v>59.21</x:v>
      </x:c>
      <x:c r="F15" s="39" t="str">
        <x:f>Scoring_Model!O5</x:f>
        <x:v>Low priority</x:v>
      </x:c>
      <x:c r="G15" s="39" t="n">
        <x:f>Raw_Data!E6</x:f>
        <x:v>7</x:v>
      </x:c>
      <x:c r="H15" s="39" t="str">
        <x:f>Raw_Data!F6</x:f>
      </x:c>
    </x:row>
    <x:row r="16">
      <x:c r="A16" s="39" t="n">
        <x:f>Scoring_Model!A6</x:f>
        <x:v>3</x:v>
      </x:c>
      <x:c r="B16" s="39" t="str">
        <x:f>Scoring_Model!B6</x:f>
        <x:v>KRBL</x:v>
      </x:c>
      <x:c r="C16" s="39" t="str">
        <x:f>Scoring_Model!C6</x:f>
        <x:v>KRBL.NS</x:v>
      </x:c>
      <x:c r="D16" s="39" t="str">
        <x:f>Scoring_Model!E6</x:f>
        <x:v>Packaged Foods</x:v>
      </x:c>
      <x:c r="E16" s="42" t="n">
        <x:f>Scoring_Model!N6</x:f>
        <x:v>59.75</x:v>
      </x:c>
      <x:c r="F16" s="39" t="str">
        <x:f>Scoring_Model!O6</x:f>
        <x:v>Low priority</x:v>
      </x:c>
      <x:c r="G16" s="39" t="n">
        <x:f>Raw_Data!E7</x:f>
        <x:v>7</x:v>
      </x:c>
      <x:c r="H16" s="39" t="str">
        <x:f>Raw_Data!F7</x:f>
      </x:c>
    </x:row>
    <x:row r="17">
      <x:c r="A17" s="39" t="n">
        <x:f>Scoring_Model!A7</x:f>
        <x:v>8</x:v>
      </x:c>
      <x:c r="B17" s="39" t="str">
        <x:f>Scoring_Model!B7</x:f>
        <x:v>Dodla Dairy</x:v>
      </x:c>
      <x:c r="C17" s="39" t="str">
        <x:f>Scoring_Model!C7</x:f>
        <x:v>DODLA.NS</x:v>
      </x:c>
      <x:c r="D17" s="39" t="str">
        <x:f>Scoring_Model!E7</x:f>
        <x:v>Dairy</x:v>
      </x:c>
      <x:c r="E17" s="42" t="n">
        <x:f>Scoring_Model!N7</x:f>
        <x:v>43.545</x:v>
      </x:c>
      <x:c r="F17" s="39" t="str">
        <x:f>Scoring_Model!O7</x:f>
        <x:v>Low priority</x:v>
      </x:c>
      <x:c r="G17" s="39" t="n">
        <x:f>Raw_Data!E8</x:f>
        <x:v>8</x:v>
      </x:c>
      <x:c r="H17" s="39" t="str">
        <x:f>Raw_Data!F8</x:f>
      </x:c>
    </x:row>
    <x:row r="18">
      <x:c r="A18" s="39" t="n">
        <x:f>Scoring_Model!A8</x:f>
        <x:v>9</x:v>
      </x:c>
      <x:c r="B18" s="39" t="str">
        <x:f>Scoring_Model!B8</x:f>
        <x:v>Heritage Foods</x:v>
      </x:c>
      <x:c r="C18" s="39" t="str">
        <x:f>Scoring_Model!C8</x:f>
        <x:v>HERITGFOOD.NS</x:v>
      </x:c>
      <x:c r="D18" s="39" t="str">
        <x:f>Scoring_Model!E8</x:f>
        <x:v>Dairy</x:v>
      </x:c>
      <x:c r="E18" s="42" t="n">
        <x:f>Scoring_Model!N8</x:f>
        <x:v>37.550000000000004</x:v>
      </x:c>
      <x:c r="F18" s="39" t="str">
        <x:f>Scoring_Model!O8</x:f>
        <x:v>Low priority</x:v>
      </x:c>
      <x:c r="G18" s="39" t="n">
        <x:f>Raw_Data!E9</x:f>
        <x:v>7</x:v>
      </x:c>
      <x:c r="H18" s="39" t="str">
        <x:f>Raw_Data!F9</x:f>
      </x:c>
    </x:row>
    <x:row r="19">
      <x:c r="A19" s="39" t="n">
        <x:f>Scoring_Model!A9</x:f>
        <x:v>7</x:v>
      </x:c>
      <x:c r="B19" s="39" t="str">
        <x:f>Scoring_Model!B9</x:f>
        <x:v>Jubilant FoodWorks</x:v>
      </x:c>
      <x:c r="C19" s="39" t="str">
        <x:f>Scoring_Model!C9</x:f>
        <x:v>JUBLFOOD.NS</x:v>
      </x:c>
      <x:c r="D19" s="39" t="str">
        <x:f>Scoring_Model!E9</x:f>
        <x:v>Food Services</x:v>
      </x:c>
      <x:c r="E19" s="42" t="n">
        <x:f>Scoring_Model!N9</x:f>
        <x:v>44.885</x:v>
      </x:c>
      <x:c r="F19" s="39" t="str">
        <x:f>Scoring_Model!O9</x:f>
        <x:v>Low priority</x:v>
      </x:c>
      <x:c r="G19" s="39" t="n">
        <x:f>Raw_Data!E10</x:f>
        <x:v>6</x:v>
      </x:c>
      <x:c r="H19" s="39" t="str">
        <x:f>Raw_Data!F10</x:f>
      </x:c>
    </x:row>
    <x:row r="20">
      <x:c r="A20" s="39" t="n">
        <x:f>Scoring_Model!A10</x:f>
        <x:v>6</x:v>
      </x:c>
      <x:c r="B20" s="39" t="str">
        <x:f>Scoring_Model!B10</x:f>
        <x:v>Devyani International</x:v>
      </x:c>
      <x:c r="C20" s="39" t="str">
        <x:f>Scoring_Model!C10</x:f>
        <x:v>DEVYANI.NS</x:v>
      </x:c>
      <x:c r="D20" s="39" t="str">
        <x:f>Scoring_Model!E10</x:f>
        <x:v>Food Services</x:v>
      </x:c>
      <x:c r="E20" s="42" t="n">
        <x:f>Scoring_Model!N10</x:f>
        <x:v>53.74000000000001</x:v>
      </x:c>
      <x:c r="F20" s="39" t="str">
        <x:f>Scoring_Model!O10</x:f>
        <x:v>Low priority</x:v>
      </x:c>
      <x:c r="G20" s="39" t="n">
        <x:f>Raw_Data!E11</x:f>
        <x:v>6</x:v>
      </x:c>
      <x:c r="H20" s="39" t="str">
        <x:f>Raw_Data!F11</x:f>
      </x:c>
    </x:row>
    <x:row r="21">
      <x:c r="A21" s="39" t="n">
        <x:f>Scoring_Model!A11</x:f>
        <x:v>5</x:v>
      </x:c>
      <x:c r="B21" s="39" t="str">
        <x:f>Scoring_Model!B11</x:f>
        <x:v>Vadilal Industries</x:v>
      </x:c>
      <x:c r="C21" s="39" t="str">
        <x:f>Scoring_Model!C11</x:f>
        <x:v>VADILALIND.NS</x:v>
      </x:c>
      <x:c r="D21" s="39" t="str">
        <x:f>Scoring_Model!E11</x:f>
        <x:v>Foods</x:v>
      </x:c>
      <x:c r="E21" s="42" t="n">
        <x:f>Scoring_Model!N11</x:f>
        <x:v>58.54</x:v>
      </x:c>
      <x:c r="F21" s="39" t="str">
        <x:f>Scoring_Model!O11</x:f>
        <x:v>Low priority</x:v>
      </x:c>
      <x:c r="G21" s="39" t="n">
        <x:f>Raw_Data!E12</x:f>
        <x:v>8</x:v>
      </x:c>
      <x:c r="H21" s="39" t="n">
        <x:f>Raw_Data!F12</x:f>
        <x:v>0</x:v>
      </x:c>
    </x:row>
    <x:row r="23">
      <x:c r="A23" s="26" t="str">
        <x:v>How to explain in interview</x:v>
      </x:c>
      <x:c r="B23" s="26"/>
      <x:c r="C23" s="26"/>
      <x:c r="D23" s="26"/>
      <x:c r="E23" s="26"/>
      <x:c r="F23" s="26"/>
      <x:c r="G23" s="26"/>
      <x:c r="H23" s="26"/>
    </x:row>
    <x:row r="24">
      <x:c r="A24" s="39" t="str">
        <x:v>I built a target-screening model for Indian consumer companies. I collected public company data, calculated growth, profitability, free cash flow, leverage and valuation metrics, then created a weighted acquisition-attractiveness score. The output ranks acquisition targets and gives a recommendation for which companies should enter deeper due diligence.</x:v>
      </x:c>
      <x:c r="B24" s="39"/>
      <x:c r="C24" s="39"/>
      <x:c r="D24" s="39"/>
      <x:c r="E24" s="39"/>
      <x:c r="F24" s="39"/>
      <x:c r="G24" s="39"/>
      <x:c r="H24" s="39"/>
    </x:row>
    <x:row r="25">
      <x:c r="A25" s="39"/>
      <x:c r="B25" s="39"/>
      <x:c r="C25" s="39"/>
      <x:c r="D25" s="39"/>
      <x:c r="E25" s="39"/>
      <x:c r="F25" s="39"/>
      <x:c r="G25" s="39"/>
      <x:c r="H25" s="39"/>
    </x:row>
    <x:row r="26">
      <x:c r="A26" s="39"/>
      <x:c r="B26" s="39"/>
      <x:c r="C26" s="39"/>
      <x:c r="D26" s="39"/>
      <x:c r="E26" s="39"/>
      <x:c r="F26" s="39"/>
      <x:c r="G26" s="39"/>
      <x:c r="H26" s="39"/>
    </x:row>
    <x:row r="27">
      <x:c r="A27" s="39"/>
      <x:c r="B27" s="39"/>
      <x:c r="C27" s="39"/>
      <x:c r="D27" s="39"/>
      <x:c r="E27" s="39"/>
      <x:c r="F27" s="39"/>
      <x:c r="G27" s="39"/>
      <x:c r="H27" s="39"/>
    </x:row>
  </x:sheetData>
  <x:mergeCells>
    <x:mergeCell ref="A1:H1"/>
    <x:mergeCell ref="D3:H3"/>
    <x:mergeCell ref="A10:H10"/>
    <x:mergeCell ref="A23:H23"/>
    <x:mergeCell ref="A24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50" hidden="0" customWidth="1"/>
  </x:cols>
  <x:sheetData>
    <x:row r="1">
      <x:c r="A1" s="45" t="str">
        <x:v>Scoring Weights &amp; Assumptions</x:v>
      </x:c>
      <x:c r="B1" s="45"/>
      <x:c r="C1" s="45"/>
      <x:c r="D1" s="45"/>
    </x:row>
    <x:row r="3">
      <x:c r="A3" s="34" t="str">
        <x:v>Bucket</x:v>
      </x:c>
      <x:c r="B3" s="34" t="str">
        <x:v>Metric Used</x:v>
      </x:c>
      <x:c r="C3" s="34" t="str">
        <x:v>Weight</x:v>
      </x:c>
      <x:c r="D3" s="34" t="str">
        <x:v>Rationale</x:v>
      </x:c>
    </x:row>
    <x:row r="4">
      <x:c r="A4" s="38" t="str">
        <x:v>Growth</x:v>
      </x:c>
      <x:c r="B4" s="38" t="str">
        <x:v>Revenue Growth %</x:v>
      </x:c>
      <x:c r="C4" s="53" t="n">
        <x:v>0.25</x:v>
      </x:c>
      <x:c r="D4" s="38" t="str">
        <x:v>Fast-growing companies are stronger acquisition candidates.</x:v>
      </x:c>
    </x:row>
    <x:row r="5">
      <x:c r="A5" s="38" t="str">
        <x:v>Profitability</x:v>
      </x:c>
      <x:c r="B5" s="38" t="str">
        <x:v>EBITDA Margin + ROE</x:v>
      </x:c>
      <x:c r="C5" s="53" t="n">
        <x:v>0.25</x:v>
      </x:c>
      <x:c r="D5" s="38" t="str">
        <x:v>Margin and ROE show operating quality.</x:v>
      </x:c>
    </x:row>
    <x:row r="6">
      <x:c r="A6" s="38" t="str">
        <x:v>Cash Flow</x:v>
      </x:c>
      <x:c r="B6" s="38" t="str">
        <x:v>Free Cash Flow</x:v>
      </x:c>
      <x:c r="C6" s="53" t="n">
        <x:v>0.15</x:v>
      </x:c>
      <x:c r="D6" s="38" t="str">
        <x:v>Cash generation reduces integration and funding risk.</x:v>
      </x:c>
    </x:row>
    <x:row r="7">
      <x:c r="A7" s="38" t="str">
        <x:v>Balance Sheet</x:v>
      </x:c>
      <x:c r="B7" s="38" t="str">
        <x:v>Low Debt/Equity</x:v>
      </x:c>
      <x:c r="C7" s="53" t="n">
        <x:v>0.15</x:v>
      </x:c>
      <x:c r="D7" s="38" t="str">
        <x:v>Lower leverage gives buyer more flexibility.</x:v>
      </x:c>
    </x:row>
    <x:row r="8">
      <x:c r="A8" s="38" t="str">
        <x:v>Valuation</x:v>
      </x:c>
      <x:c r="B8" s="38" t="str">
        <x:v>Low EV/Revenue + EV/EBITDA</x:v>
      </x:c>
      <x:c r="C8" s="53" t="n">
        <x:v>0.1</x:v>
      </x:c>
      <x:c r="D8" s="38" t="str">
        <x:v>Lower multiples can improve acquisition economics.</x:v>
      </x:c>
    </x:row>
    <x:row r="9">
      <x:c r="A9" s="38" t="str">
        <x:v>Strategic Fit</x:v>
      </x:c>
      <x:c r="B9" s="38" t="str">
        <x:v>Manual Buyer Fit Score</x:v>
      </x:c>
      <x:c r="C9" s="53" t="n">
        <x:v>0.1</x:v>
      </x:c>
      <x:c r="D9" s="38" t="str">
        <x:v>Captures product, distribution and category fit.</x:v>
      </x:c>
    </x:row>
    <x:row r="11">
      <x:c r="A11" s="58" t="str">
        <x:v>Important: Strategic fit is manual because real M&amp;A screening includes judgement, not only formulas.</x:v>
      </x:c>
      <x:c r="B11" s="58"/>
      <x:c r="C11" s="58"/>
      <x:c r="D11" s="58"/>
    </x:row>
  </x:sheetData>
  <x:mergeCells>
    <x:mergeCell ref="A1:D1"/>
    <x:mergeCell ref="A11:D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36" hidden="0" customWidth="1"/>
  </x:cols>
  <x:sheetData>
    <x:row r="1">
      <x:c r="A1" s="45" t="str">
        <x:v>Raw Company Data - Sample Format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</x:row>
    <x:row r="2">
      <x:c r="A2" s="34" t="str">
        <x:v>Company</x:v>
      </x:c>
      <x:c r="B2" s="34" t="str">
        <x:v>Ticker</x:v>
      </x:c>
      <x:c r="C2" s="34" t="str">
        <x:v>Sector</x:v>
      </x:c>
      <x:c r="D2" s="34" t="str">
        <x:v>Industry</x:v>
      </x:c>
      <x:c r="E2" s="34" t="str">
        <x:v>Strategic Fit Score</x:v>
      </x:c>
      <x:c r="F2" s="34" t="str">
        <x:v>Why Fit</x:v>
      </x:c>
      <x:c r="G2" s="34" t="str">
        <x:v>Market Cap (₹ Cr)</x:v>
      </x:c>
      <x:c r="H2" s="34" t="str">
        <x:v>Enterprise Value (₹ Cr)</x:v>
      </x:c>
      <x:c r="I2" s="34" t="str">
        <x:v>Revenue TTM (₹ Cr)</x:v>
      </x:c>
      <x:c r="J2" s="34" t="str">
        <x:v>Revenue Growth %</x:v>
      </x:c>
      <x:c r="K2" s="34" t="str">
        <x:v>EBITDA Margin %</x:v>
      </x:c>
      <x:c r="L2" s="34" t="str">
        <x:v>Free Cash Flow (₹ Cr)</x:v>
      </x:c>
      <x:c r="M2" s="34" t="str">
        <x:v>Debt/Equity</x:v>
      </x:c>
      <x:c r="N2" s="34" t="str">
        <x:v>ROE %</x:v>
      </x:c>
      <x:c r="O2" s="34" t="str">
        <x:v>EV/Revenue</x:v>
      </x:c>
      <x:c r="P2" s="34" t="str">
        <x:v>EV/EBITDA</x:v>
      </x:c>
      <x:c r="Q2" s="34" t="str">
        <x:v>Data Note</x:v>
      </x:c>
    </x:row>
    <x:row r="3">
      <x:c r="A3" s="62" t="str">
        <x:v>Mrs. Bectors Food Specialities</x:v>
      </x:c>
      <x:c r="B3" s="62" t="str">
        <x:v>BECTORFOOD.NS</x:v>
      </x:c>
      <x:c r="C3" s="62" t="str">
        <x:v>Consumer</x:v>
      </x:c>
      <x:c r="D3" s="62" t="str">
        <x:v>Packaged Foods</x:v>
      </x:c>
      <x:c r="E3" s="62" t="n">
        <x:v>9</x:v>
      </x:c>
      <x:c r="F3" s="62" t="str"/>
      <x:c r="G3" s="64" t="n">
        <x:v>8500</x:v>
      </x:c>
      <x:c r="H3" s="64" t="n">
        <x:v>8300</x:v>
      </x:c>
      <x:c r="I3" s="64" t="n">
        <x:v>1700</x:v>
      </x:c>
      <x:c r="J3" s="66" t="n">
        <x:v>0.18</x:v>
      </x:c>
      <x:c r="K3" s="66" t="n">
        <x:v>0.14</x:v>
      </x:c>
      <x:c r="L3" s="64" t="n">
        <x:v>120</x:v>
      </x:c>
      <x:c r="M3" s="68" t="n">
        <x:v>0.15</x:v>
      </x:c>
      <x:c r="N3" s="66" t="n">
        <x:v>0.17</x:v>
      </x:c>
      <x:c r="O3" s="68" t="n">
        <x:v>4.88</x:v>
      </x:c>
      <x:c r="P3" s="68" t="n">
        <x:v>34.9</x:v>
      </x:c>
      <x:c r="Q3" s="62" t="str">
        <x:v>ILLUSTRATIVE ONLY - replace with fetched public data</x:v>
      </x:c>
    </x:row>
    <x:row r="4">
      <x:c r="A4" s="62" t="str">
        <x:v>Bikaji Foods International</x:v>
      </x:c>
      <x:c r="B4" s="62" t="str">
        <x:v>BIKAJI.NS</x:v>
      </x:c>
      <x:c r="C4" s="62" t="str">
        <x:v>Consumer</x:v>
      </x:c>
      <x:c r="D4" s="62" t="str">
        <x:v>Packaged Foods</x:v>
      </x:c>
      <x:c r="E4" s="62" t="n">
        <x:v>9</x:v>
      </x:c>
      <x:c r="F4" s="62" t="str"/>
      <x:c r="G4" s="64" t="n">
        <x:v>19000</x:v>
      </x:c>
      <x:c r="H4" s="64" t="n">
        <x:v>18500</x:v>
      </x:c>
      <x:c r="I4" s="64" t="n">
        <x:v>2500</x:v>
      </x:c>
      <x:c r="J4" s="66" t="n">
        <x:v>0.16</x:v>
      </x:c>
      <x:c r="K4" s="66" t="n">
        <x:v>0.13</x:v>
      </x:c>
      <x:c r="L4" s="64" t="n">
        <x:v>150</x:v>
      </x:c>
      <x:c r="M4" s="68" t="n">
        <x:v>0.1</x:v>
      </x:c>
      <x:c r="N4" s="66" t="n">
        <x:v>0.16</x:v>
      </x:c>
      <x:c r="O4" s="68" t="n">
        <x:v>7.4</x:v>
      </x:c>
      <x:c r="P4" s="68" t="n">
        <x:v>56.9</x:v>
      </x:c>
      <x:c r="Q4" s="62" t="str">
        <x:v>ILLUSTRATIVE ONLY - replace with fetched public data</x:v>
      </x:c>
    </x:row>
    <x:row r="5">
      <x:c r="A5" s="62" t="str">
        <x:v>Prataap Snacks</x:v>
      </x:c>
      <x:c r="B5" s="62" t="str">
        <x:v>DIAMONDYD.NS</x:v>
      </x:c>
      <x:c r="C5" s="62" t="str">
        <x:v>Consumer</x:v>
      </x:c>
      <x:c r="D5" s="62" t="str">
        <x:v>Packaged Foods</x:v>
      </x:c>
      <x:c r="E5" s="62" t="n">
        <x:v>8</x:v>
      </x:c>
      <x:c r="F5" s="62" t="str"/>
      <x:c r="G5" s="64" t="n">
        <x:v>2500</x:v>
      </x:c>
      <x:c r="H5" s="64" t="n">
        <x:v>2600</x:v>
      </x:c>
      <x:c r="I5" s="64" t="n">
        <x:v>1700</x:v>
      </x:c>
      <x:c r="J5" s="66" t="n">
        <x:v>0.1</x:v>
      </x:c>
      <x:c r="K5" s="66" t="n">
        <x:v>0.08</x:v>
      </x:c>
      <x:c r="L5" s="64" t="n">
        <x:v>35</x:v>
      </x:c>
      <x:c r="M5" s="68" t="n">
        <x:v>0.25</x:v>
      </x:c>
      <x:c r="N5" s="66" t="n">
        <x:v>0.09</x:v>
      </x:c>
      <x:c r="O5" s="68" t="n">
        <x:v>1.53</x:v>
      </x:c>
      <x:c r="P5" s="68" t="n">
        <x:v>19.1</x:v>
      </x:c>
      <x:c r="Q5" s="62" t="str">
        <x:v>ILLUSTRATIVE ONLY - replace with fetched public data</x:v>
      </x:c>
    </x:row>
    <x:row r="6">
      <x:c r="A6" s="62" t="str">
        <x:v>LT Foods</x:v>
      </x:c>
      <x:c r="B6" s="62" t="str">
        <x:v>LTFOODS.NS</x:v>
      </x:c>
      <x:c r="C6" s="62" t="str">
        <x:v>Consumer</x:v>
      </x:c>
      <x:c r="D6" s="62" t="str">
        <x:v>Packaged Foods</x:v>
      </x:c>
      <x:c r="E6" s="62" t="n">
        <x:v>7</x:v>
      </x:c>
      <x:c r="F6" s="62" t="str"/>
      <x:c r="G6" s="64" t="n">
        <x:v>12000</x:v>
      </x:c>
      <x:c r="H6" s="64" t="n">
        <x:v>13000</x:v>
      </x:c>
      <x:c r="I6" s="64" t="n">
        <x:v>8000</x:v>
      </x:c>
      <x:c r="J6" s="66" t="n">
        <x:v>0.12</x:v>
      </x:c>
      <x:c r="K6" s="66" t="n">
        <x:v>0.11</x:v>
      </x:c>
      <x:c r="L6" s="64" t="n">
        <x:v>500</x:v>
      </x:c>
      <x:c r="M6" s="68" t="n">
        <x:v>0.55</x:v>
      </x:c>
      <x:c r="N6" s="66" t="n">
        <x:v>0.18</x:v>
      </x:c>
      <x:c r="O6" s="68" t="n">
        <x:v>1.63</x:v>
      </x:c>
      <x:c r="P6" s="68" t="n">
        <x:v>14.8</x:v>
      </x:c>
      <x:c r="Q6" s="62" t="str">
        <x:v>ILLUSTRATIVE ONLY - replace with fetched public data</x:v>
      </x:c>
    </x:row>
    <x:row r="7">
      <x:c r="A7" s="62" t="str">
        <x:v>KRBL</x:v>
      </x:c>
      <x:c r="B7" s="62" t="str">
        <x:v>KRBL.NS</x:v>
      </x:c>
      <x:c r="C7" s="62" t="str">
        <x:v>Consumer</x:v>
      </x:c>
      <x:c r="D7" s="62" t="str">
        <x:v>Packaged Foods</x:v>
      </x:c>
      <x:c r="E7" s="62" t="n">
        <x:v>7</x:v>
      </x:c>
      <x:c r="F7" s="62" t="str"/>
      <x:c r="G7" s="64" t="n">
        <x:v>9000</x:v>
      </x:c>
      <x:c r="H7" s="64" t="n">
        <x:v>8500</x:v>
      </x:c>
      <x:c r="I7" s="64" t="n">
        <x:v>5300</x:v>
      </x:c>
      <x:c r="J7" s="66" t="n">
        <x:v>0.08</x:v>
      </x:c>
      <x:c r="K7" s="66" t="n">
        <x:v>0.18</x:v>
      </x:c>
      <x:c r="L7" s="64" t="n">
        <x:v>450</x:v>
      </x:c>
      <x:c r="M7" s="68" t="n">
        <x:v>0.05</x:v>
      </x:c>
      <x:c r="N7" s="66" t="n">
        <x:v>0.13</x:v>
      </x:c>
      <x:c r="O7" s="68" t="n">
        <x:v>1.6</x:v>
      </x:c>
      <x:c r="P7" s="68" t="n">
        <x:v>8.9</x:v>
      </x:c>
      <x:c r="Q7" s="62" t="str">
        <x:v>ILLUSTRATIVE ONLY - replace with fetched public data</x:v>
      </x:c>
    </x:row>
    <x:row r="8">
      <x:c r="A8" s="62" t="str">
        <x:v>Dodla Dairy</x:v>
      </x:c>
      <x:c r="B8" s="62" t="str">
        <x:v>DODLA.NS</x:v>
      </x:c>
      <x:c r="C8" s="62" t="str">
        <x:v>Consumer</x:v>
      </x:c>
      <x:c r="D8" s="62" t="str">
        <x:v>Dairy</x:v>
      </x:c>
      <x:c r="E8" s="62" t="n">
        <x:v>8</x:v>
      </x:c>
      <x:c r="F8" s="62" t="str"/>
      <x:c r="G8" s="64" t="n">
        <x:v>6000</x:v>
      </x:c>
      <x:c r="H8" s="64" t="n">
        <x:v>5900</x:v>
      </x:c>
      <x:c r="I8" s="64" t="n">
        <x:v>3200</x:v>
      </x:c>
      <x:c r="J8" s="66" t="n">
        <x:v>0.09</x:v>
      </x:c>
      <x:c r="K8" s="66" t="n">
        <x:v>0.1</x:v>
      </x:c>
      <x:c r="L8" s="64" t="n">
        <x:v>130</x:v>
      </x:c>
      <x:c r="M8" s="68" t="n">
        <x:v>0.12</x:v>
      </x:c>
      <x:c r="N8" s="66" t="n">
        <x:v>0.14</x:v>
      </x:c>
      <x:c r="O8" s="68" t="n">
        <x:v>1.84</x:v>
      </x:c>
      <x:c r="P8" s="68" t="n">
        <x:v>18.4</x:v>
      </x:c>
      <x:c r="Q8" s="62" t="str">
        <x:v>ILLUSTRATIVE ONLY - replace with fetched public data</x:v>
      </x:c>
    </x:row>
    <x:row r="9">
      <x:c r="A9" s="62" t="str">
        <x:v>Heritage Foods</x:v>
      </x:c>
      <x:c r="B9" s="62" t="str">
        <x:v>HERITGFOOD.NS</x:v>
      </x:c>
      <x:c r="C9" s="62" t="str">
        <x:v>Consumer</x:v>
      </x:c>
      <x:c r="D9" s="62" t="str">
        <x:v>Dairy</x:v>
      </x:c>
      <x:c r="E9" s="62" t="n">
        <x:v>7</x:v>
      </x:c>
      <x:c r="F9" s="62" t="str"/>
      <x:c r="G9" s="64" t="n">
        <x:v>5000</x:v>
      </x:c>
      <x:c r="H9" s="64" t="n">
        <x:v>5100</x:v>
      </x:c>
      <x:c r="I9" s="64" t="n">
        <x:v>3800</x:v>
      </x:c>
      <x:c r="J9" s="66" t="n">
        <x:v>0.11</x:v>
      </x:c>
      <x:c r="K9" s="66" t="n">
        <x:v>0.06</x:v>
      </x:c>
      <x:c r="L9" s="64" t="n">
        <x:v>90</x:v>
      </x:c>
      <x:c r="M9" s="68" t="n">
        <x:v>0.2</x:v>
      </x:c>
      <x:c r="N9" s="66" t="n">
        <x:v>0.13</x:v>
      </x:c>
      <x:c r="O9" s="68" t="n">
        <x:v>1.34</x:v>
      </x:c>
      <x:c r="P9" s="68" t="n">
        <x:v>22.4</x:v>
      </x:c>
      <x:c r="Q9" s="62" t="str">
        <x:v>ILLUSTRATIVE ONLY - replace with fetched public data</x:v>
      </x:c>
    </x:row>
    <x:row r="10">
      <x:c r="A10" s="62" t="str">
        <x:v>Jubilant FoodWorks</x:v>
      </x:c>
      <x:c r="B10" s="62" t="str">
        <x:v>JUBLFOOD.NS</x:v>
      </x:c>
      <x:c r="C10" s="62" t="str">
        <x:v>Consumer</x:v>
      </x:c>
      <x:c r="D10" s="62" t="str">
        <x:v>Food Services</x:v>
      </x:c>
      <x:c r="E10" s="62" t="n">
        <x:v>6</x:v>
      </x:c>
      <x:c r="F10" s="62" t="str"/>
      <x:c r="G10" s="64" t="n">
        <x:v>42000</x:v>
      </x:c>
      <x:c r="H10" s="64" t="n">
        <x:v>44000</x:v>
      </x:c>
      <x:c r="I10" s="64" t="n">
        <x:v>5600</x:v>
      </x:c>
      <x:c r="J10" s="66" t="n">
        <x:v>0.09</x:v>
      </x:c>
      <x:c r="K10" s="66" t="n">
        <x:v>0.2</x:v>
      </x:c>
      <x:c r="L10" s="64" t="n">
        <x:v>350</x:v>
      </x:c>
      <x:c r="M10" s="68" t="n">
        <x:v>0.4</x:v>
      </x:c>
      <x:c r="N10" s="66" t="n">
        <x:v>0.15</x:v>
      </x:c>
      <x:c r="O10" s="68" t="n">
        <x:v>7.86</x:v>
      </x:c>
      <x:c r="P10" s="68" t="n">
        <x:v>39.3</x:v>
      </x:c>
      <x:c r="Q10" s="62" t="str">
        <x:v>ILLUSTRATIVE ONLY - replace with fetched public data</x:v>
      </x:c>
    </x:row>
    <x:row r="11">
      <x:c r="A11" s="62" t="str">
        <x:v>Devyani International</x:v>
      </x:c>
      <x:c r="B11" s="62" t="str">
        <x:v>DEVYANI.NS</x:v>
      </x:c>
      <x:c r="C11" s="62" t="str">
        <x:v>Consumer</x:v>
      </x:c>
      <x:c r="D11" s="62" t="str">
        <x:v>Food Services</x:v>
      </x:c>
      <x:c r="E11" s="62" t="n">
        <x:v>6</x:v>
      </x:c>
      <x:c r="F11" s="62" t="str"/>
      <x:c r="G11" s="64" t="n">
        <x:v>21000</x:v>
      </x:c>
      <x:c r="H11" s="64" t="n">
        <x:v>23000</x:v>
      </x:c>
      <x:c r="I11" s="64" t="n">
        <x:v>3900</x:v>
      </x:c>
      <x:c r="J11" s="66" t="n">
        <x:v>0.18</x:v>
      </x:c>
      <x:c r="K11" s="66" t="n">
        <x:v>0.17</x:v>
      </x:c>
      <x:c r="L11" s="64" t="n">
        <x:v>260</x:v>
      </x:c>
      <x:c r="M11" s="68" t="n">
        <x:v>0.75</x:v>
      </x:c>
      <x:c r="N11" s="66" t="n">
        <x:v>0.12</x:v>
      </x:c>
      <x:c r="O11" s="68" t="n">
        <x:v>5.9</x:v>
      </x:c>
      <x:c r="P11" s="68" t="n">
        <x:v>34.7</x:v>
      </x:c>
      <x:c r="Q11" s="62" t="str">
        <x:v>ILLUSTRATIVE ONLY - replace with fetched public data</x:v>
      </x:c>
    </x:row>
    <x:row r="12">
      <x:c r="A12" s="62" t="str">
        <x:v>Vadilal Industries</x:v>
      </x:c>
      <x:c r="B12" s="62" t="str">
        <x:v>VADILALIND.NS</x:v>
      </x:c>
      <x:c r="C12" s="62" t="str">
        <x:v>Consumer</x:v>
      </x:c>
      <x:c r="D12" s="62" t="str">
        <x:v>Foods</x:v>
      </x:c>
      <x:c r="E12" s="62" t="n">
        <x:v>8</x:v>
      </x:c>
      <x:c r="F12" s="62" t="str"/>
      <x:c r="G12" s="64" t="n">
        <x:v>3300</x:v>
      </x:c>
      <x:c r="H12" s="64" t="n">
        <x:v>3600</x:v>
      </x:c>
      <x:c r="I12" s="64" t="n">
        <x:v>1200</x:v>
      </x:c>
      <x:c r="J12" s="66" t="n">
        <x:v>0.14</x:v>
      </x:c>
      <x:c r="K12" s="66" t="n">
        <x:v>0.16</x:v>
      </x:c>
      <x:c r="L12" s="64" t="n">
        <x:v>110</x:v>
      </x:c>
      <x:c r="M12" s="68" t="n">
        <x:v>0.35</x:v>
      </x:c>
      <x:c r="N12" s="66" t="n">
        <x:v>0.2</x:v>
      </x:c>
      <x:c r="O12" s="68" t="n">
        <x:v>3</x:v>
      </x:c>
      <x:c r="P12" s="68" t="n">
        <x:v>18.8</x:v>
      </x:c>
      <x:c r="Q12" s="62" t="str">
        <x:v>ILLUSTRATIVE ONLY - replace with fetched public data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051a0c29b8c84b8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34" t="str">
        <x:v>Rank</x:v>
      </x:c>
      <x:c r="B1" s="34" t="str">
        <x:v>Company</x:v>
      </x:c>
      <x:c r="C1" s="34" t="str">
        <x:v>Ticker</x:v>
      </x:c>
      <x:c r="D1" s="34" t="str">
        <x:v>Sector</x:v>
      </x:c>
      <x:c r="E1" s="34" t="str">
        <x:v>Industry</x:v>
      </x:c>
      <x:c r="F1" s="34" t="str">
        <x:v>Growth Score</x:v>
      </x:c>
      <x:c r="G1" s="34" t="str">
        <x:v>Profitability Score</x:v>
      </x:c>
      <x:c r="H1" s="34" t="str">
        <x:v>Cash Flow Score</x:v>
      </x:c>
      <x:c r="I1" s="34" t="str">
        <x:v>Balance Sheet Score</x:v>
      </x:c>
      <x:c r="J1" s="34" t="str">
        <x:v>Valuation Score</x:v>
      </x:c>
      <x:c r="K1" s="34" t="str">
        <x:v>Strategic Fit Score</x:v>
      </x:c>
      <x:c r="L1" s="34" t="str">
        <x:v>Growth Weighted</x:v>
      </x:c>
      <x:c r="M1" s="34" t="str">
        <x:v>Profitability Weighted</x:v>
      </x:c>
      <x:c r="N1" s="34" t="str">
        <x:v>Acquisition Score</x:v>
      </x:c>
      <x:c r="O1" s="34" t="str">
        <x:v>Recommendation</x:v>
      </x:c>
    </x:row>
    <x:row r="2">
      <x:c r="A2" s="39" t="n">
        <x:f>RANK.EQ(N2,$N$2:$N$11,0)</x:f>
        <x:v>1</x:v>
      </x:c>
      <x:c r="B2" s="39" t="str">
        <x:f>Raw_Data!A3</x:f>
        <x:v>Mrs. Bectors Food Specialities</x:v>
      </x:c>
      <x:c r="C2" s="39" t="str">
        <x:f>Raw_Data!B3</x:f>
        <x:v>BECTORFOOD.NS</x:v>
      </x:c>
      <x:c r="D2" s="39" t="str">
        <x:f>Raw_Data!C3</x:f>
        <x:v>Consumer</x:v>
      </x:c>
      <x:c r="E2" s="39" t="str">
        <x:f>Raw_Data!D3</x:f>
        <x:v>Packaged Foods</x:v>
      </x:c>
      <x:c r="F2" s="42" t="n">
        <x:f>PERCENTRANK.INC(Raw_Data!$J$3:$J$12,Raw_Data!J3)*100</x:f>
        <x:v>88.8</x:v>
      </x:c>
      <x:c r="G2" s="42" t="n">
        <x:f>(PERCENTRANK.INC(Raw_Data!$K$3:$K$12,Raw_Data!K3)*60+PERCENTRANK.INC(Raw_Data!$N$3:$N$12,Raw_Data!N3)*40)</x:f>
        <x:v>64.38000000000001</x:v>
      </x:c>
      <x:c r="H2" s="42" t="n">
        <x:f>PERCENTRANK.INC(Raw_Data!$L$3:$L$12,Raw_Data!L3)*100</x:f>
        <x:v>33.300000000000004</x:v>
      </x:c>
      <x:c r="I2" s="42" t="n">
        <x:f>(1-PERCENTRANK.INC(Raw_Data!$M$3:$M$12,Raw_Data!M3))*100</x:f>
        <x:v>66.7</x:v>
      </x:c>
      <x:c r="J2" s="42" t="n">
        <x:f>((1-PERCENTRANK.INC(Raw_Data!$O$3:$O$12,Raw_Data!O3))*50+(1-PERCENTRANK.INC(Raw_Data!$P$3:$P$12,Raw_Data!P3))*50)</x:f>
        <x:v>27.849999999999998</x:v>
      </x:c>
      <x:c r="K2" s="42" t="n">
        <x:f>Raw_Data!E3*10</x:f>
        <x:v>90</x:v>
      </x:c>
      <x:c r="L2" s="42" t="n">
        <x:f>F2*Assumptions!$C$4</x:f>
        <x:v>22.2</x:v>
      </x:c>
      <x:c r="M2" s="42" t="n">
        <x:f>G2*Assumptions!$C$5</x:f>
        <x:v>16.095000000000002</x:v>
      </x:c>
      <x:c r="N2" s="42" t="n">
        <x:f>F2*Assumptions!$C$4+G2*Assumptions!$C$5+H2*Assumptions!$C$6+I2*Assumptions!$C$7+J2*Assumptions!$C$8+K2*Assumptions!$C$9</x:f>
        <x:v>65.08</x:v>
      </x:c>
      <x:c r="O2" s="39" t="str">
        <x:f>IF(N2&gt;=75,"High priority: diligence",IF(N2&gt;=60,"Medium priority: monitor","Low priority"))</x:f>
        <x:v>Medium priority: monitor</x:v>
      </x:c>
    </x:row>
    <x:row r="3">
      <x:c r="A3" s="39" t="n">
        <x:f>RANK.EQ(N3,$N$2:$N$11,0)</x:f>
        <x:v>2</x:v>
      </x:c>
      <x:c r="B3" s="39" t="str">
        <x:f>Raw_Data!A4</x:f>
        <x:v>Bikaji Foods International</x:v>
      </x:c>
      <x:c r="C3" s="39" t="str">
        <x:f>Raw_Data!B4</x:f>
        <x:v>BIKAJI.NS</x:v>
      </x:c>
      <x:c r="D3" s="39" t="str">
        <x:f>Raw_Data!C4</x:f>
        <x:v>Consumer</x:v>
      </x:c>
      <x:c r="E3" s="39" t="str">
        <x:f>Raw_Data!D4</x:f>
        <x:v>Packaged Foods</x:v>
      </x:c>
      <x:c r="F3" s="42" t="n">
        <x:f>PERCENTRANK.INC(Raw_Data!$J$3:$J$12,Raw_Data!J4)*100</x:f>
        <x:v>77.7</x:v>
      </x:c>
      <x:c r="G3" s="42" t="n">
        <x:f>(PERCENTRANK.INC(Raw_Data!$K$3:$K$12,Raw_Data!K4)*60+PERCENTRANK.INC(Raw_Data!$N$3:$N$12,Raw_Data!N4)*40)</x:f>
        <x:v>53.28</x:v>
      </x:c>
      <x:c r="H3" s="42" t="n">
        <x:f>PERCENTRANK.INC(Raw_Data!$L$3:$L$12,Raw_Data!L4)*100</x:f>
        <x:v>55.50000000000001</x:v>
      </x:c>
      <x:c r="I3" s="42" t="n">
        <x:f>(1-PERCENTRANK.INC(Raw_Data!$M$3:$M$12,Raw_Data!M4))*100</x:f>
        <x:v>88.9</x:v>
      </x:c>
      <x:c r="J3" s="42" t="n">
        <x:f>((1-PERCENTRANK.INC(Raw_Data!$O$3:$O$12,Raw_Data!O4))*50+(1-PERCENTRANK.INC(Raw_Data!$P$3:$P$12,Raw_Data!P4))*50)</x:f>
        <x:v>5.6</x:v>
      </x:c>
      <x:c r="K3" s="42" t="n">
        <x:f>Raw_Data!E4*10</x:f>
        <x:v>90</x:v>
      </x:c>
      <x:c r="L3" s="42" t="n">
        <x:f>F3*Assumptions!$C$4</x:f>
        <x:v>19.425</x:v>
      </x:c>
      <x:c r="M3" s="42" t="n">
        <x:f>G3*Assumptions!$C$5</x:f>
        <x:v>13.32</x:v>
      </x:c>
      <x:c r="N3" s="42" t="n">
        <x:f>F3*Assumptions!$C$4+G3*Assumptions!$C$5+H3*Assumptions!$C$6+I3*Assumptions!$C$7+J3*Assumptions!$C$8+K3*Assumptions!$C$9</x:f>
        <x:v>63.96500000000001</x:v>
      </x:c>
      <x:c r="O3" s="39" t="str">
        <x:f>IF(N3&gt;=75,"High priority: diligence",IF(N3&gt;=60,"Medium priority: monitor","Low priority"))</x:f>
        <x:v>Medium priority: monitor</x:v>
      </x:c>
    </x:row>
    <x:row r="4">
      <x:c r="A4" s="39" t="n">
        <x:f>RANK.EQ(N4,$N$2:$N$11,0)</x:f>
        <x:v>10</x:v>
      </x:c>
      <x:c r="B4" s="39" t="str">
        <x:f>Raw_Data!A5</x:f>
        <x:v>Prataap Snacks</x:v>
      </x:c>
      <x:c r="C4" s="39" t="str">
        <x:f>Raw_Data!B5</x:f>
        <x:v>DIAMONDYD.NS</x:v>
      </x:c>
      <x:c r="D4" s="39" t="str">
        <x:f>Raw_Data!C5</x:f>
        <x:v>Consumer</x:v>
      </x:c>
      <x:c r="E4" s="39" t="str">
        <x:f>Raw_Data!D5</x:f>
        <x:v>Packaged Foods</x:v>
      </x:c>
      <x:c r="F4" s="42" t="n">
        <x:f>PERCENTRANK.INC(Raw_Data!$J$3:$J$12,Raw_Data!J5)*100</x:f>
        <x:v>33.300000000000004</x:v>
      </x:c>
      <x:c r="G4" s="42" t="n">
        <x:f>(PERCENTRANK.INC(Raw_Data!$K$3:$K$12,Raw_Data!K5)*60+PERCENTRANK.INC(Raw_Data!$N$3:$N$12,Raw_Data!N5)*40)</x:f>
        <x:v>6.66</x:v>
      </x:c>
      <x:c r="H4" s="42" t="n">
        <x:f>PERCENTRANK.INC(Raw_Data!$L$3:$L$12,Raw_Data!L5)*100</x:f>
        <x:v>0</x:v>
      </x:c>
      <x:c r="I4" s="42" t="n">
        <x:f>(1-PERCENTRANK.INC(Raw_Data!$M$3:$M$12,Raw_Data!M5))*100</x:f>
        <x:v>44.49999999999999</x:v>
      </x:c>
      <x:c r="J4" s="42" t="n">
        <x:f>((1-PERCENTRANK.INC(Raw_Data!$O$3:$O$12,Raw_Data!O5))*50+(1-PERCENTRANK.INC(Raw_Data!$P$3:$P$12,Raw_Data!P5))*50)</x:f>
        <x:v>72.25</x:v>
      </x:c>
      <x:c r="K4" s="42" t="n">
        <x:f>Raw_Data!E5*10</x:f>
        <x:v>80</x:v>
      </x:c>
      <x:c r="L4" s="42" t="n">
        <x:f>F4*Assumptions!$C$4</x:f>
        <x:v>8.325000000000001</x:v>
      </x:c>
      <x:c r="M4" s="42" t="n">
        <x:f>G4*Assumptions!$C$5</x:f>
        <x:v>1.665</x:v>
      </x:c>
      <x:c r="N4" s="42" t="n">
        <x:f>F4*Assumptions!$C$4+G4*Assumptions!$C$5+H4*Assumptions!$C$6+I4*Assumptions!$C$7+J4*Assumptions!$C$8+K4*Assumptions!$C$9</x:f>
        <x:v>31.89</x:v>
      </x:c>
      <x:c r="O4" s="39" t="str">
        <x:f>IF(N4&gt;=75,"High priority: diligence",IF(N4&gt;=60,"Medium priority: monitor","Low priority"))</x:f>
        <x:v>Low priority</x:v>
      </x:c>
    </x:row>
    <x:row r="5">
      <x:c r="A5" s="39" t="n">
        <x:f>RANK.EQ(N5,$N$2:$N$11,0)</x:f>
        <x:v>4</x:v>
      </x:c>
      <x:c r="B5" s="39" t="str">
        <x:f>Raw_Data!A6</x:f>
        <x:v>LT Foods</x:v>
      </x:c>
      <x:c r="C5" s="39" t="str">
        <x:f>Raw_Data!B6</x:f>
        <x:v>LTFOODS.NS</x:v>
      </x:c>
      <x:c r="D5" s="39" t="str">
        <x:f>Raw_Data!C6</x:f>
        <x:v>Consumer</x:v>
      </x:c>
      <x:c r="E5" s="39" t="str">
        <x:f>Raw_Data!D6</x:f>
        <x:v>Packaged Foods</x:v>
      </x:c>
      <x:c r="F5" s="42" t="n">
        <x:f>PERCENTRANK.INC(Raw_Data!$J$3:$J$12,Raw_Data!J6)*100</x:f>
        <x:v>55.50000000000001</x:v>
      </x:c>
      <x:c r="G5" s="42" t="n">
        <x:f>(PERCENTRANK.INC(Raw_Data!$K$3:$K$12,Raw_Data!K6)*60+PERCENTRANK.INC(Raw_Data!$N$3:$N$12,Raw_Data!N6)*40)</x:f>
        <x:v>55.5</x:v>
      </x:c>
      <x:c r="H5" s="42" t="n">
        <x:f>PERCENTRANK.INC(Raw_Data!$L$3:$L$12,Raw_Data!L6)*100</x:f>
        <x:v>100</x:v>
      </x:c>
      <x:c r="I5" s="42" t="n">
        <x:f>(1-PERCENTRANK.INC(Raw_Data!$M$3:$M$12,Raw_Data!M6))*100</x:f>
        <x:v>11.2</x:v>
      </x:c>
      <x:c r="J5" s="42" t="n">
        <x:f>((1-PERCENTRANK.INC(Raw_Data!$O$3:$O$12,Raw_Data!O6))*50+(1-PERCENTRANK.INC(Raw_Data!$P$3:$P$12,Raw_Data!P6))*50)</x:f>
        <x:v>77.80000000000001</x:v>
      </x:c>
      <x:c r="K5" s="42" t="n">
        <x:f>Raw_Data!E6*10</x:f>
        <x:v>70</x:v>
      </x:c>
      <x:c r="L5" s="42" t="n">
        <x:f>F5*Assumptions!$C$4</x:f>
        <x:v>13.875000000000002</x:v>
      </x:c>
      <x:c r="M5" s="42" t="n">
        <x:f>G5*Assumptions!$C$5</x:f>
        <x:v>13.875</x:v>
      </x:c>
      <x:c r="N5" s="42" t="n">
        <x:f>F5*Assumptions!$C$4+G5*Assumptions!$C$5+H5*Assumptions!$C$6+I5*Assumptions!$C$7+J5*Assumptions!$C$8+K5*Assumptions!$C$9</x:f>
        <x:v>59.21</x:v>
      </x:c>
      <x:c r="O5" s="39" t="str">
        <x:f>IF(N5&gt;=75,"High priority: diligence",IF(N5&gt;=60,"Medium priority: monitor","Low priority"))</x:f>
        <x:v>Low priority</x:v>
      </x:c>
    </x:row>
    <x:row r="6">
      <x:c r="A6" s="39" t="n">
        <x:f>RANK.EQ(N6,$N$2:$N$11,0)</x:f>
        <x:v>3</x:v>
      </x:c>
      <x:c r="B6" s="39" t="str">
        <x:f>Raw_Data!A7</x:f>
        <x:v>KRBL</x:v>
      </x:c>
      <x:c r="C6" s="39" t="str">
        <x:f>Raw_Data!B7</x:f>
        <x:v>KRBL.NS</x:v>
      </x:c>
      <x:c r="D6" s="39" t="str">
        <x:f>Raw_Data!C7</x:f>
        <x:v>Consumer</x:v>
      </x:c>
      <x:c r="E6" s="39" t="str">
        <x:f>Raw_Data!D7</x:f>
        <x:v>Packaged Foods</x:v>
      </x:c>
      <x:c r="F6" s="42" t="n">
        <x:f>PERCENTRANK.INC(Raw_Data!$J$3:$J$12,Raw_Data!J7)*100</x:f>
        <x:v>0</x:v>
      </x:c>
      <x:c r="G6" s="42" t="n">
        <x:f>(PERCENTRANK.INC(Raw_Data!$K$3:$K$12,Raw_Data!K7)*60+PERCENTRANK.INC(Raw_Data!$N$3:$N$12,Raw_Data!N7)*40)</x:f>
        <x:v>62.160000000000004</x:v>
      </x:c>
      <x:c r="H6" s="42" t="n">
        <x:f>PERCENTRANK.INC(Raw_Data!$L$3:$L$12,Raw_Data!L7)*100</x:f>
        <x:v>88.8</x:v>
      </x:c>
      <x:c r="I6" s="42" t="n">
        <x:f>(1-PERCENTRANK.INC(Raw_Data!$M$3:$M$12,Raw_Data!M7))*100</x:f>
        <x:v>100</x:v>
      </x:c>
      <x:c r="J6" s="42" t="n">
        <x:f>((1-PERCENTRANK.INC(Raw_Data!$O$3:$O$12,Raw_Data!O7))*50+(1-PERCENTRANK.INC(Raw_Data!$P$3:$P$12,Raw_Data!P7))*50)</x:f>
        <x:v>88.9</x:v>
      </x:c>
      <x:c r="K6" s="42" t="n">
        <x:f>Raw_Data!E7*10</x:f>
        <x:v>70</x:v>
      </x:c>
      <x:c r="L6" s="42" t="n">
        <x:f>F6*Assumptions!$C$4</x:f>
        <x:v>0</x:v>
      </x:c>
      <x:c r="M6" s="42" t="n">
        <x:f>G6*Assumptions!$C$5</x:f>
        <x:v>15.540000000000001</x:v>
      </x:c>
      <x:c r="N6" s="42" t="n">
        <x:f>F6*Assumptions!$C$4+G6*Assumptions!$C$5+H6*Assumptions!$C$6+I6*Assumptions!$C$7+J6*Assumptions!$C$8+K6*Assumptions!$C$9</x:f>
        <x:v>59.75</x:v>
      </x:c>
      <x:c r="O6" s="39" t="str">
        <x:f>IF(N6&gt;=75,"High priority: diligence",IF(N6&gt;=60,"Medium priority: monitor","Low priority"))</x:f>
        <x:v>Low priority</x:v>
      </x:c>
    </x:row>
    <x:row r="7">
      <x:c r="A7" s="39" t="n">
        <x:f>RANK.EQ(N7,$N$2:$N$11,0)</x:f>
        <x:v>8</x:v>
      </x:c>
      <x:c r="B7" s="39" t="str">
        <x:f>Raw_Data!A8</x:f>
        <x:v>Dodla Dairy</x:v>
      </x:c>
      <x:c r="C7" s="39" t="str">
        <x:f>Raw_Data!B8</x:f>
        <x:v>DODLA.NS</x:v>
      </x:c>
      <x:c r="D7" s="39" t="str">
        <x:f>Raw_Data!C8</x:f>
        <x:v>Consumer</x:v>
      </x:c>
      <x:c r="E7" s="39" t="str">
        <x:f>Raw_Data!D8</x:f>
        <x:v>Dairy</x:v>
      </x:c>
      <x:c r="F7" s="42" t="n">
        <x:f>PERCENTRANK.INC(Raw_Data!$J$3:$J$12,Raw_Data!J8)*100</x:f>
        <x:v>11.1</x:v>
      </x:c>
      <x:c r="G7" s="42" t="n">
        <x:f>(PERCENTRANK.INC(Raw_Data!$K$3:$K$12,Raw_Data!K8)*60+PERCENTRANK.INC(Raw_Data!$N$3:$N$12,Raw_Data!N8)*40)</x:f>
        <x:v>31.080000000000002</x:v>
      </x:c>
      <x:c r="H7" s="42" t="n">
        <x:f>PERCENTRANK.INC(Raw_Data!$L$3:$L$12,Raw_Data!L8)*100</x:f>
        <x:v>44.4</x:v>
      </x:c>
      <x:c r="I7" s="42" t="n">
        <x:f>(1-PERCENTRANK.INC(Raw_Data!$M$3:$M$12,Raw_Data!M8))*100</x:f>
        <x:v>77.8</x:v>
      </x:c>
      <x:c r="J7" s="42" t="n">
        <x:f>((1-PERCENTRANK.INC(Raw_Data!$O$3:$O$12,Raw_Data!O8))*50+(1-PERCENTRANK.INC(Raw_Data!$P$3:$P$12,Raw_Data!P8))*50)</x:f>
        <x:v>66.7</x:v>
      </x:c>
      <x:c r="K7" s="42" t="n">
        <x:f>Raw_Data!E8*10</x:f>
        <x:v>80</x:v>
      </x:c>
      <x:c r="L7" s="42" t="n">
        <x:f>F7*Assumptions!$C$4</x:f>
        <x:v>2.775</x:v>
      </x:c>
      <x:c r="M7" s="42" t="n">
        <x:f>G7*Assumptions!$C$5</x:f>
        <x:v>7.7700000000000005</x:v>
      </x:c>
      <x:c r="N7" s="42" t="n">
        <x:f>F7*Assumptions!$C$4+G7*Assumptions!$C$5+H7*Assumptions!$C$6+I7*Assumptions!$C$7+J7*Assumptions!$C$8+K7*Assumptions!$C$9</x:f>
        <x:v>43.545</x:v>
      </x:c>
      <x:c r="O7" s="39" t="str">
        <x:f>IF(N7&gt;=75,"High priority: diligence",IF(N7&gt;=60,"Medium priority: monitor","Low priority"))</x:f>
        <x:v>Low priority</x:v>
      </x:c>
    </x:row>
    <x:row r="8">
      <x:c r="A8" s="39" t="n">
        <x:f>RANK.EQ(N8,$N$2:$N$11,0)</x:f>
        <x:v>9</x:v>
      </x:c>
      <x:c r="B8" s="39" t="str">
        <x:f>Raw_Data!A9</x:f>
        <x:v>Heritage Foods</x:v>
      </x:c>
      <x:c r="C8" s="39" t="str">
        <x:f>Raw_Data!B9</x:f>
        <x:v>HERITGFOOD.NS</x:v>
      </x:c>
      <x:c r="D8" s="39" t="str">
        <x:f>Raw_Data!C9</x:f>
        <x:v>Consumer</x:v>
      </x:c>
      <x:c r="E8" s="39" t="str">
        <x:f>Raw_Data!D9</x:f>
        <x:v>Dairy</x:v>
      </x:c>
      <x:c r="F8" s="42" t="n">
        <x:f>PERCENTRANK.INC(Raw_Data!$J$3:$J$12,Raw_Data!J9)*100</x:f>
        <x:v>44.4</x:v>
      </x:c>
      <x:c r="G8" s="42" t="n">
        <x:f>(PERCENTRANK.INC(Raw_Data!$K$3:$K$12,Raw_Data!K9)*60+PERCENTRANK.INC(Raw_Data!$N$3:$N$12,Raw_Data!N9)*40)</x:f>
        <x:v>8.88</x:v>
      </x:c>
      <x:c r="H8" s="42" t="n">
        <x:f>PERCENTRANK.INC(Raw_Data!$L$3:$L$12,Raw_Data!L9)*100</x:f>
        <x:v>11.1</x:v>
      </x:c>
      <x:c r="I8" s="42" t="n">
        <x:f>(1-PERCENTRANK.INC(Raw_Data!$M$3:$M$12,Raw_Data!M9))*100</x:f>
        <x:v>55.60000000000001</x:v>
      </x:c>
      <x:c r="J8" s="42" t="n">
        <x:f>((1-PERCENTRANK.INC(Raw_Data!$O$3:$O$12,Raw_Data!O9))*50+(1-PERCENTRANK.INC(Raw_Data!$P$3:$P$12,Raw_Data!P9))*50)</x:f>
        <x:v>72.25</x:v>
      </x:c>
      <x:c r="K8" s="42" t="n">
        <x:f>Raw_Data!E9*10</x:f>
        <x:v>70</x:v>
      </x:c>
      <x:c r="L8" s="42" t="n">
        <x:f>F8*Assumptions!$C$4</x:f>
        <x:v>11.1</x:v>
      </x:c>
      <x:c r="M8" s="42" t="n">
        <x:f>G8*Assumptions!$C$5</x:f>
        <x:v>2.22</x:v>
      </x:c>
      <x:c r="N8" s="42" t="n">
        <x:f>F8*Assumptions!$C$4+G8*Assumptions!$C$5+H8*Assumptions!$C$6+I8*Assumptions!$C$7+J8*Assumptions!$C$8+K8*Assumptions!$C$9</x:f>
        <x:v>37.550000000000004</x:v>
      </x:c>
      <x:c r="O8" s="39" t="str">
        <x:f>IF(N8&gt;=75,"High priority: diligence",IF(N8&gt;=60,"Medium priority: monitor","Low priority"))</x:f>
        <x:v>Low priority</x:v>
      </x:c>
    </x:row>
    <x:row r="9">
      <x:c r="A9" s="39" t="n">
        <x:f>RANK.EQ(N9,$N$2:$N$11,0)</x:f>
        <x:v>7</x:v>
      </x:c>
      <x:c r="B9" s="39" t="str">
        <x:f>Raw_Data!A10</x:f>
        <x:v>Jubilant FoodWorks</x:v>
      </x:c>
      <x:c r="C9" s="39" t="str">
        <x:f>Raw_Data!B10</x:f>
        <x:v>JUBLFOOD.NS</x:v>
      </x:c>
      <x:c r="D9" s="39" t="str">
        <x:f>Raw_Data!C10</x:f>
        <x:v>Consumer</x:v>
      </x:c>
      <x:c r="E9" s="39" t="str">
        <x:f>Raw_Data!D10</x:f>
        <x:v>Food Services</x:v>
      </x:c>
      <x:c r="F9" s="42" t="n">
        <x:f>PERCENTRANK.INC(Raw_Data!$J$3:$J$12,Raw_Data!J10)*100</x:f>
        <x:v>11.1</x:v>
      </x:c>
      <x:c r="G9" s="42" t="n">
        <x:f>(PERCENTRANK.INC(Raw_Data!$K$3:$K$12,Raw_Data!K10)*60+PERCENTRANK.INC(Raw_Data!$N$3:$N$12,Raw_Data!N10)*40)</x:f>
        <x:v>82.2</x:v>
      </x:c>
      <x:c r="H9" s="42" t="n">
        <x:f>PERCENTRANK.INC(Raw_Data!$L$3:$L$12,Raw_Data!L10)*100</x:f>
        <x:v>77.7</x:v>
      </x:c>
      <x:c r="I9" s="42" t="n">
        <x:f>(1-PERCENTRANK.INC(Raw_Data!$M$3:$M$12,Raw_Data!M10))*100</x:f>
        <x:v>22.299999999999997</x:v>
      </x:c>
      <x:c r="J9" s="42" t="n">
        <x:f>((1-PERCENTRANK.INC(Raw_Data!$O$3:$O$12,Raw_Data!O10))*50+(1-PERCENTRANK.INC(Raw_Data!$P$3:$P$12,Raw_Data!P10))*50)</x:f>
        <x:v>5.6</x:v>
      </x:c>
      <x:c r="K9" s="42" t="n">
        <x:f>Raw_Data!E10*10</x:f>
        <x:v>60</x:v>
      </x:c>
      <x:c r="L9" s="42" t="n">
        <x:f>F9*Assumptions!$C$4</x:f>
        <x:v>2.775</x:v>
      </x:c>
      <x:c r="M9" s="42" t="n">
        <x:f>G9*Assumptions!$C$5</x:f>
        <x:v>20.55</x:v>
      </x:c>
      <x:c r="N9" s="42" t="n">
        <x:f>F9*Assumptions!$C$4+G9*Assumptions!$C$5+H9*Assumptions!$C$6+I9*Assumptions!$C$7+J9*Assumptions!$C$8+K9*Assumptions!$C$9</x:f>
        <x:v>44.885</x:v>
      </x:c>
      <x:c r="O9" s="39" t="str">
        <x:f>IF(N9&gt;=75,"High priority: diligence",IF(N9&gt;=60,"Medium priority: monitor","Low priority"))</x:f>
        <x:v>Low priority</x:v>
      </x:c>
    </x:row>
    <x:row r="10">
      <x:c r="A10" s="39" t="n">
        <x:f>RANK.EQ(N10,$N$2:$N$11,0)</x:f>
        <x:v>6</x:v>
      </x:c>
      <x:c r="B10" s="39" t="str">
        <x:f>Raw_Data!A11</x:f>
        <x:v>Devyani International</x:v>
      </x:c>
      <x:c r="C10" s="39" t="str">
        <x:f>Raw_Data!B11</x:f>
        <x:v>DEVYANI.NS</x:v>
      </x:c>
      <x:c r="D10" s="39" t="str">
        <x:f>Raw_Data!C11</x:f>
        <x:v>Consumer</x:v>
      </x:c>
      <x:c r="E10" s="39" t="str">
        <x:f>Raw_Data!D11</x:f>
        <x:v>Food Services</x:v>
      </x:c>
      <x:c r="F10" s="42" t="n">
        <x:f>PERCENTRANK.INC(Raw_Data!$J$3:$J$12,Raw_Data!J11)*100</x:f>
        <x:v>88.8</x:v>
      </x:c>
      <x:c r="G10" s="42" t="n">
        <x:f>(PERCENTRANK.INC(Raw_Data!$K$3:$K$12,Raw_Data!K11)*60+PERCENTRANK.INC(Raw_Data!$N$3:$N$12,Raw_Data!N11)*40)</x:f>
        <x:v>51.06</x:v>
      </x:c>
      <x:c r="H10" s="42" t="n">
        <x:f>PERCENTRANK.INC(Raw_Data!$L$3:$L$12,Raw_Data!L11)*100</x:f>
        <x:v>66.60000000000001</x:v>
      </x:c>
      <x:c r="I10" s="42" t="n">
        <x:f>(1-PERCENTRANK.INC(Raw_Data!$M$3:$M$12,Raw_Data!M11))*100</x:f>
        <x:v>0</x:v>
      </x:c>
      <x:c r="J10" s="42" t="n">
        <x:f>((1-PERCENTRANK.INC(Raw_Data!$O$3:$O$12,Raw_Data!O11))*50+(1-PERCENTRANK.INC(Raw_Data!$P$3:$P$12,Raw_Data!P11))*50)</x:f>
        <x:v>27.849999999999998</x:v>
      </x:c>
      <x:c r="K10" s="42" t="n">
        <x:f>Raw_Data!E11*10</x:f>
        <x:v>60</x:v>
      </x:c>
      <x:c r="L10" s="42" t="n">
        <x:f>F10*Assumptions!$C$4</x:f>
        <x:v>22.2</x:v>
      </x:c>
      <x:c r="M10" s="42" t="n">
        <x:f>G10*Assumptions!$C$5</x:f>
        <x:v>12.765</x:v>
      </x:c>
      <x:c r="N10" s="42" t="n">
        <x:f>F10*Assumptions!$C$4+G10*Assumptions!$C$5+H10*Assumptions!$C$6+I10*Assumptions!$C$7+J10*Assumptions!$C$8+K10*Assumptions!$C$9</x:f>
        <x:v>53.74000000000001</x:v>
      </x:c>
      <x:c r="O10" s="39" t="str">
        <x:f>IF(N10&gt;=75,"High priority: diligence",IF(N10&gt;=60,"Medium priority: monitor","Low priority"))</x:f>
        <x:v>Low priority</x:v>
      </x:c>
    </x:row>
    <x:row r="11">
      <x:c r="A11" s="39" t="n">
        <x:f>RANK.EQ(N11,$N$2:$N$11,0)</x:f>
        <x:v>5</x:v>
      </x:c>
      <x:c r="B11" s="39" t="str">
        <x:f>Raw_Data!A12</x:f>
        <x:v>Vadilal Industries</x:v>
      </x:c>
      <x:c r="C11" s="39" t="str">
        <x:f>Raw_Data!B12</x:f>
        <x:v>VADILALIND.NS</x:v>
      </x:c>
      <x:c r="D11" s="39" t="str">
        <x:f>Raw_Data!C12</x:f>
        <x:v>Consumer</x:v>
      </x:c>
      <x:c r="E11" s="39" t="str">
        <x:f>Raw_Data!D12</x:f>
        <x:v>Foods</x:v>
      </x:c>
      <x:c r="F11" s="42" t="n">
        <x:f>PERCENTRANK.INC(Raw_Data!$J$3:$J$12,Raw_Data!J12)*100</x:f>
        <x:v>66.60000000000001</x:v>
      </x:c>
      <x:c r="G11" s="42" t="n">
        <x:f>(PERCENTRANK.INC(Raw_Data!$K$3:$K$12,Raw_Data!K12)*60+PERCENTRANK.INC(Raw_Data!$N$3:$N$12,Raw_Data!N12)*40)</x:f>
        <x:v>79.96000000000001</x:v>
      </x:c>
      <x:c r="H11" s="42" t="n">
        <x:f>PERCENTRANK.INC(Raw_Data!$L$3:$L$12,Raw_Data!L12)*100</x:f>
        <x:v>22.2</x:v>
      </x:c>
      <x:c r="I11" s="42" t="n">
        <x:f>(1-PERCENTRANK.INC(Raw_Data!$M$3:$M$12,Raw_Data!M12))*100</x:f>
        <x:v>33.4</x:v>
      </x:c>
      <x:c r="J11" s="42" t="n">
        <x:f>((1-PERCENTRANK.INC(Raw_Data!$O$3:$O$12,Raw_Data!O12))*50+(1-PERCENTRANK.INC(Raw_Data!$P$3:$P$12,Raw_Data!P12))*50)</x:f>
        <x:v>55.599999999999994</x:v>
      </x:c>
      <x:c r="K11" s="42" t="n">
        <x:f>Raw_Data!E12*10</x:f>
        <x:v>80</x:v>
      </x:c>
      <x:c r="L11" s="42" t="n">
        <x:f>F11*Assumptions!$C$4</x:f>
        <x:v>16.650000000000002</x:v>
      </x:c>
      <x:c r="M11" s="42" t="n">
        <x:f>G11*Assumptions!$C$5</x:f>
        <x:v>19.990000000000002</x:v>
      </x:c>
      <x:c r="N11" s="42" t="n">
        <x:f>F11*Assumptions!$C$4+G11*Assumptions!$C$5+H11*Assumptions!$C$6+I11*Assumptions!$C$7+J11*Assumptions!$C$8+K11*Assumptions!$C$9</x:f>
        <x:v>58.54</x:v>
      </x:c>
      <x:c r="O11" s="39" t="str">
        <x:f>IF(N11&gt;=75,"High priority: diligence",IF(N11&gt;=60,"Medium priority: monitor","Low priority"))</x:f>
        <x:v>Low priority</x:v>
      </x:c>
    </x:row>
  </x:sheetData>
  <x:pageMargins left="0.7" right="0.7" top="0.75" bottom="0.75" header="0.3" footer="0.3"/>
  <x:tableParts count="1">
    <x:tablePart xmlns:r="http://schemas.openxmlformats.org/officeDocument/2006/relationships" r:id="Re950d5617be5464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60" hidden="0" customWidth="1"/>
    <x:col min="4" max="4" width="42" hidden="0" customWidth="1"/>
  </x:cols>
  <x:sheetData>
    <x:row r="1">
      <x:c r="A1" s="45" t="str">
        <x:v>Sources &amp; Data Notes</x:v>
      </x:c>
      <x:c r="B1" s="45"/>
      <x:c r="C1" s="45"/>
      <x:c r="D1" s="45"/>
    </x:row>
    <x:row r="3">
      <x:c r="A3" s="34" t="str">
        <x:v>Source</x:v>
      </x:c>
      <x:c r="B3" s="34" t="str">
        <x:v>Use</x:v>
      </x:c>
      <x:c r="C3" s="34" t="str">
        <x:v>URL</x:v>
      </x:c>
      <x:c r="D3" s="34" t="str">
        <x:v>Notes</x:v>
      </x:c>
    </x:row>
    <x:row r="4">
      <x:c r="A4" s="39" t="str">
        <x:v>NSE / Nifty 500</x:v>
      </x:c>
      <x:c r="B4" s="39" t="str">
        <x:v>Public universe of Indian listed companies</x:v>
      </x:c>
      <x:c r="C4" s="39" t="str">
        <x:v>https://www.nseindia.com/static/products-services/indices-nifty500-index</x:v>
      </x:c>
      <x:c r="D4" s="39" t="str">
        <x:v>NSE page provides Nifty 500 description and CSV download link.</x:v>
      </x:c>
    </x:row>
    <x:row r="5">
      <x:c r="A5" s="39" t="str">
        <x:v>yfinance documentation</x:v>
      </x:c>
      <x:c r="B5" s="39" t="str">
        <x:v>Download public Yahoo Finance market and financial data through Python</x:v>
      </x:c>
      <x:c r="C5" s="39" t="str">
        <x:v>https://ranaroussi.github.io/yfinance/</x:v>
      </x:c>
      <x:c r="D5" s="39" t="str">
        <x:v>Open-source research/educational tool using Yahoo Finance public data.</x:v>
      </x:c>
    </x:row>
    <x:row r="6">
      <x:c r="A6" s="39" t="str">
        <x:v>Project script</x:v>
      </x:c>
      <x:c r="B6" s="39" t="str">
        <x:v>Fetch and update data</x:v>
      </x:c>
      <x:c r="C6" s="39" t="str">
        <x:v>src/01_fetch_public_data.py</x:v>
      </x:c>
      <x:c r="D6" s="39" t="str">
        <x:v>Run from project folder.</x:v>
      </x:c>
    </x:row>
    <x:row r="7">
      <x:c r="A7" s="39" t="str">
        <x:v>Project script</x:v>
      </x:c>
      <x:c r="B7" s="39" t="str">
        <x:v>Score and rank targets</x:v>
      </x:c>
      <x:c r="C7" s="39" t="str">
        <x:v>src/02_score_targets.py</x:v>
      </x:c>
      <x:c r="D7" s="39" t="str">
        <x:v>Run after fetching data.</x:v>
      </x:c>
    </x:row>
  </x:sheetData>
  <x:mergeCells>
    <x:mergeCell ref="A1:D1"/>
  </x:mergeCells>
  <x:pageMargins left="0.7" right="0.7" top="0.75" bottom="0.75" header="0.3" footer="0.3"/>
</x:worksheet>
</file>